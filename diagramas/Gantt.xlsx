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icardo\Desktop\Tese_mestrado\diagramas\"/>
    </mc:Choice>
  </mc:AlternateContent>
  <xr:revisionPtr revIDLastSave="0" documentId="13_ncr:1_{2F09862B-8473-4278-89C4-FCBB73B594E1}" xr6:coauthVersionLast="47" xr6:coauthVersionMax="47" xr10:uidLastSave="{00000000-0000-0000-0000-000000000000}"/>
  <bookViews>
    <workbookView xWindow="-120" yWindow="-120" windowWidth="20730" windowHeight="11160" activeTab="1" xr2:uid="{9E5D4881-DCE1-478A-8E87-A90D197304B3}"/>
  </bookViews>
  <sheets>
    <sheet name="GANTT" sheetId="1" r:id="rId1"/>
    <sheet name="Folh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3" i="1"/>
  <c r="D6" i="1"/>
  <c r="E6" i="1" s="1"/>
  <c r="D4" i="1"/>
  <c r="D7" i="1"/>
  <c r="E7" i="1" s="1"/>
  <c r="D5" i="1"/>
  <c r="D8" i="1"/>
  <c r="E8" i="1" s="1"/>
  <c r="D9" i="1"/>
  <c r="E9" i="1" s="1"/>
  <c r="D3" i="1"/>
  <c r="A3" i="2"/>
  <c r="A4" i="2" s="1"/>
  <c r="A5" i="2" s="1"/>
  <c r="A6" i="2" s="1"/>
  <c r="A7" i="2" s="1"/>
  <c r="A8" i="2" l="1"/>
  <c r="A9" i="2" s="1"/>
  <c r="A10" i="2" s="1"/>
  <c r="A11" i="2" l="1"/>
  <c r="A12" i="2" s="1"/>
  <c r="A13" i="2" s="1"/>
  <c r="A14" i="2" s="1"/>
  <c r="A15" i="2" l="1"/>
  <c r="A16" i="2" s="1"/>
  <c r="A17" i="2" s="1"/>
  <c r="A18" i="2" s="1"/>
  <c r="A19" i="2" l="1"/>
  <c r="A20" i="2" s="1"/>
  <c r="A21" i="2" s="1"/>
  <c r="A22" i="2" s="1"/>
  <c r="A23" i="2" l="1"/>
  <c r="A24" i="2" s="1"/>
  <c r="A25" i="2" s="1"/>
  <c r="A26" i="2" s="1"/>
</calcChain>
</file>

<file path=xl/sharedStrings.xml><?xml version="1.0" encoding="utf-8"?>
<sst xmlns="http://schemas.openxmlformats.org/spreadsheetml/2006/main" count="16" uniqueCount="16">
  <si>
    <t>Ano</t>
  </si>
  <si>
    <t>Nivel</t>
  </si>
  <si>
    <t>Label</t>
  </si>
  <si>
    <t>Tarefas</t>
  </si>
  <si>
    <t>Tese</t>
  </si>
  <si>
    <t>Escrita do TFM</t>
  </si>
  <si>
    <t>Implementação do simulated annealing</t>
  </si>
  <si>
    <t>Implementação da interface gráfica</t>
  </si>
  <si>
    <t>Avaliação e correção da aplicação</t>
  </si>
  <si>
    <t>Data de inicio</t>
  </si>
  <si>
    <t>Data de fim</t>
  </si>
  <si>
    <t>Implementação da base de dados</t>
  </si>
  <si>
    <t>Duração (dias)</t>
  </si>
  <si>
    <t>Duração (semanas)</t>
  </si>
  <si>
    <t>Conversão dos dados de entrada para o padrão ITC 2019</t>
  </si>
  <si>
    <t>Implementação do interpretador dos dados ITC 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</si>
</sst>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GANTT!$B$2</c:f>
              <c:strCache>
                <c:ptCount val="1"/>
                <c:pt idx="0">
                  <c:v>Data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GANTT!$A$3:$A$9</c:f>
              <c:strCache>
                <c:ptCount val="7"/>
                <c:pt idx="0">
                  <c:v>Escrita do TFM</c:v>
                </c:pt>
                <c:pt idx="1">
                  <c:v>Conversão dos dados de entrada para o padrão ITC 2019</c:v>
                </c:pt>
                <c:pt idx="2">
                  <c:v>Implementação do interpretador dos dados ITC 2019</c:v>
                </c:pt>
                <c:pt idx="3">
                  <c:v>Implementação da base de dados</c:v>
                </c:pt>
                <c:pt idx="4">
                  <c:v>Implementação do simulated annealing</c:v>
                </c:pt>
                <c:pt idx="5">
                  <c:v>Implementação da interface gráfica</c:v>
                </c:pt>
                <c:pt idx="6">
                  <c:v>Avaliação e correção da aplicação</c:v>
                </c:pt>
              </c:strCache>
            </c:strRef>
          </c:cat>
          <c:val>
            <c:numRef>
              <c:f>GANTT!$B$3:$B$9</c:f>
              <c:numCache>
                <c:formatCode>m/d/yyyy</c:formatCode>
                <c:ptCount val="7"/>
                <c:pt idx="0">
                  <c:v>45717</c:v>
                </c:pt>
                <c:pt idx="1">
                  <c:v>45717</c:v>
                </c:pt>
                <c:pt idx="2">
                  <c:v>45722</c:v>
                </c:pt>
                <c:pt idx="3">
                  <c:v>45736</c:v>
                </c:pt>
                <c:pt idx="4">
                  <c:v>45757</c:v>
                </c:pt>
                <c:pt idx="5">
                  <c:v>45787</c:v>
                </c:pt>
                <c:pt idx="6">
                  <c:v>45828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04-4B3F-96C6-E2A752F8A4AF}"/>
            </c:ext>
          </c:extLst>
        </c:ser>
        <c:ser>
          <c:idx val="1"/>
          <c:order val="1"/>
          <c:tx>
            <c:strRef>
              <c:f>GANTT!$D$2</c:f>
              <c:strCache>
                <c:ptCount val="1"/>
                <c:pt idx="0">
                  <c:v>Duração (dias)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GANTT!$A$3:$A$9</c:f>
              <c:strCache>
                <c:ptCount val="7"/>
                <c:pt idx="0">
                  <c:v>Escrita do TFM</c:v>
                </c:pt>
                <c:pt idx="1">
                  <c:v>Conversão dos dados de entrada para o padrão ITC 2019</c:v>
                </c:pt>
                <c:pt idx="2">
                  <c:v>Implementação do interpretador dos dados ITC 2019</c:v>
                </c:pt>
                <c:pt idx="3">
                  <c:v>Implementação da base de dados</c:v>
                </c:pt>
                <c:pt idx="4">
                  <c:v>Implementação do simulated annealing</c:v>
                </c:pt>
                <c:pt idx="5">
                  <c:v>Implementação da interface gráfica</c:v>
                </c:pt>
                <c:pt idx="6">
                  <c:v>Avaliação e correção da aplicação</c:v>
                </c:pt>
              </c:strCache>
            </c:strRef>
          </c:cat>
          <c:val>
            <c:numRef>
              <c:f>GANTT!$D$3:$D$9</c:f>
              <c:numCache>
                <c:formatCode>General</c:formatCode>
                <c:ptCount val="7"/>
                <c:pt idx="0">
                  <c:v>213</c:v>
                </c:pt>
                <c:pt idx="1">
                  <c:v>7</c:v>
                </c:pt>
                <c:pt idx="2">
                  <c:v>21</c:v>
                </c:pt>
                <c:pt idx="3">
                  <c:v>21</c:v>
                </c:pt>
                <c:pt idx="4">
                  <c:v>28</c:v>
                </c:pt>
                <c:pt idx="5">
                  <c:v>41</c:v>
                </c:pt>
                <c:pt idx="6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04-4B3F-96C6-E2A752F8A4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72744224"/>
        <c:axId val="472743744"/>
      </c:barChart>
      <c:catAx>
        <c:axId val="47274422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472743744"/>
        <c:crosses val="autoZero"/>
        <c:auto val="1"/>
        <c:lblAlgn val="ctr"/>
        <c:lblOffset val="100"/>
        <c:noMultiLvlLbl val="0"/>
      </c:catAx>
      <c:valAx>
        <c:axId val="472743744"/>
        <c:scaling>
          <c:orientation val="minMax"/>
          <c:max val="45930"/>
          <c:min val="4571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m/d/yyyy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472744224"/>
        <c:crosses val="autoZero"/>
        <c:crossBetween val="between"/>
        <c:majorUnit val="26.6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Folha2!$B$1</c:f>
              <c:strCache>
                <c:ptCount val="1"/>
                <c:pt idx="0">
                  <c:v>Nivel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1E75F69-ADC0-42BB-87D7-BEE35BCFA4F4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6B6-4E7C-B4CC-75DA9CB6BDA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C7FD7FC-901E-495B-B613-AB65D10B551C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6B6-4E7C-B4CC-75DA9CB6BDA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6B83809-4D41-45B0-B1A7-795B9966D3D3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6B6-4E7C-B4CC-75DA9CB6BDA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A1A5C0A-6A45-4159-A770-6A6A89E17A0E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6B6-4E7C-B4CC-75DA9CB6BDA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D3766C9-A2F9-4B57-973D-EF66C8B3F037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6B6-4E7C-B4CC-75DA9CB6BDA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F554FF5-A235-4E5F-8EC3-F6FB60283B4A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6B6-4E7C-B4CC-75DA9CB6BDA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80499CC-8A71-4089-ADA2-B9B026E4C3E9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6B6-4E7C-B4CC-75DA9CB6BDA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5AF636C-1C9B-44AC-AF2A-39171CBCAABE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6B6-4E7C-B4CC-75DA9CB6BDA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B819A59-A9DC-45D3-B4FD-935645DDAAAC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6B6-4E7C-B4CC-75DA9CB6BDA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7A49A243-0C2F-4FFE-A8AB-D1D7BD3C4535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6B6-4E7C-B4CC-75DA9CB6BDA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EBEEC8E-3C68-427C-8946-DDA8FCE8B035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6B6-4E7C-B4CC-75DA9CB6BDA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C043B7E-837E-49AE-B272-08A27E6EFC03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6B6-4E7C-B4CC-75DA9CB6BDA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7D1247E9-C7D1-431D-A655-3218C3089820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6B6-4E7C-B4CC-75DA9CB6BDA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A0E6D1D0-AC34-46BA-93B9-9B0A751F2795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6B6-4E7C-B4CC-75DA9CB6BDA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A2CF1D4-4290-44E4-AE8D-61890CDA4A93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6B6-4E7C-B4CC-75DA9CB6BDA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06532B60-726B-47CE-93B2-B84D41F1AFAB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6B6-4E7C-B4CC-75DA9CB6BDA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8E5257A3-A761-4DEE-8EC7-A239488A7EA3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6B6-4E7C-B4CC-75DA9CB6BDA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FAE214F6-788A-4020-A5C7-BD79D5D29688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6B6-4E7C-B4CC-75DA9CB6BDA6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53451286-C5FB-4B34-BE0F-7E4325DC4D13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6B6-4E7C-B4CC-75DA9CB6BDA6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4FEE6517-CFD8-48E6-9B11-E39E7CAFDB4F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6B6-4E7C-B4CC-75DA9CB6BDA6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5156A5FD-1FC4-475D-8EB9-DB0206378B83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6B6-4E7C-B4CC-75DA9CB6BDA6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65C33C34-3371-4FCB-970E-00E7FA3B82CD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6B6-4E7C-B4CC-75DA9CB6BDA6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227DB3BA-0A8C-47E7-AC70-67117EDAB765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6B6-4E7C-B4CC-75DA9CB6BDA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85BC8113-FEB3-4F49-A64A-7EC6715D7E0D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6B6-4E7C-B4CC-75DA9CB6BDA6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18AB1DBE-5D9B-4943-9614-B8549A729B35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6B6-4E7C-B4CC-75DA9CB6BDA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minus"/>
            <c:errValType val="percentage"/>
            <c:noEndCap val="1"/>
            <c:val val="100"/>
            <c:spPr>
              <a:noFill/>
              <a:ln w="19050" cap="flat" cmpd="sng" algn="ctr">
                <a:solidFill>
                  <a:srgbClr val="0070C0"/>
                </a:solidFill>
                <a:round/>
              </a:ln>
              <a:effectLst/>
            </c:spPr>
          </c:errBars>
          <c:cat>
            <c:numRef>
              <c:f>Folha2!$A$2:$A$26</c:f>
              <c:numCache>
                <c:formatCode>m/d/yyyy</c:formatCode>
                <c:ptCount val="25"/>
                <c:pt idx="0">
                  <c:v>36526</c:v>
                </c:pt>
                <c:pt idx="1">
                  <c:v>36892</c:v>
                </c:pt>
                <c:pt idx="2">
                  <c:v>37257</c:v>
                </c:pt>
                <c:pt idx="3">
                  <c:v>37622</c:v>
                </c:pt>
                <c:pt idx="4">
                  <c:v>37987</c:v>
                </c:pt>
                <c:pt idx="5">
                  <c:v>38353</c:v>
                </c:pt>
                <c:pt idx="6">
                  <c:v>38718</c:v>
                </c:pt>
                <c:pt idx="7">
                  <c:v>39083</c:v>
                </c:pt>
                <c:pt idx="8">
                  <c:v>39448</c:v>
                </c:pt>
                <c:pt idx="9">
                  <c:v>39814</c:v>
                </c:pt>
                <c:pt idx="10">
                  <c:v>40179</c:v>
                </c:pt>
                <c:pt idx="11">
                  <c:v>40544</c:v>
                </c:pt>
                <c:pt idx="12">
                  <c:v>40909</c:v>
                </c:pt>
                <c:pt idx="13">
                  <c:v>41275</c:v>
                </c:pt>
                <c:pt idx="14">
                  <c:v>41640</c:v>
                </c:pt>
                <c:pt idx="15">
                  <c:v>42005</c:v>
                </c:pt>
                <c:pt idx="16">
                  <c:v>42370</c:v>
                </c:pt>
                <c:pt idx="17">
                  <c:v>42736</c:v>
                </c:pt>
                <c:pt idx="18">
                  <c:v>43101</c:v>
                </c:pt>
                <c:pt idx="19">
                  <c:v>43466</c:v>
                </c:pt>
                <c:pt idx="20">
                  <c:v>43831</c:v>
                </c:pt>
                <c:pt idx="21">
                  <c:v>44197</c:v>
                </c:pt>
                <c:pt idx="22">
                  <c:v>44562</c:v>
                </c:pt>
                <c:pt idx="23">
                  <c:v>44927</c:v>
                </c:pt>
                <c:pt idx="24">
                  <c:v>45292</c:v>
                </c:pt>
              </c:numCache>
            </c:numRef>
          </c:cat>
          <c:val>
            <c:numRef>
              <c:f>Folha2!$B$2:$B$26</c:f>
              <c:numCache>
                <c:formatCode>General</c:formatCode>
                <c:ptCount val="25"/>
                <c:pt idx="0">
                  <c:v>2</c:v>
                </c:pt>
                <c:pt idx="1">
                  <c:v>-2</c:v>
                </c:pt>
                <c:pt idx="2">
                  <c:v>4</c:v>
                </c:pt>
                <c:pt idx="3">
                  <c:v>-4</c:v>
                </c:pt>
                <c:pt idx="4">
                  <c:v>2</c:v>
                </c:pt>
                <c:pt idx="5">
                  <c:v>-2</c:v>
                </c:pt>
                <c:pt idx="6">
                  <c:v>4</c:v>
                </c:pt>
                <c:pt idx="7">
                  <c:v>-4</c:v>
                </c:pt>
                <c:pt idx="8">
                  <c:v>2</c:v>
                </c:pt>
                <c:pt idx="9">
                  <c:v>-2</c:v>
                </c:pt>
                <c:pt idx="10">
                  <c:v>4</c:v>
                </c:pt>
                <c:pt idx="11">
                  <c:v>-4</c:v>
                </c:pt>
                <c:pt idx="12">
                  <c:v>2</c:v>
                </c:pt>
                <c:pt idx="13">
                  <c:v>-2</c:v>
                </c:pt>
                <c:pt idx="14">
                  <c:v>4</c:v>
                </c:pt>
                <c:pt idx="15">
                  <c:v>-4</c:v>
                </c:pt>
                <c:pt idx="16">
                  <c:v>2</c:v>
                </c:pt>
                <c:pt idx="17">
                  <c:v>-2</c:v>
                </c:pt>
                <c:pt idx="18">
                  <c:v>4</c:v>
                </c:pt>
                <c:pt idx="19">
                  <c:v>-4</c:v>
                </c:pt>
                <c:pt idx="20">
                  <c:v>2</c:v>
                </c:pt>
                <c:pt idx="21">
                  <c:v>-2</c:v>
                </c:pt>
                <c:pt idx="22">
                  <c:v>4</c:v>
                </c:pt>
                <c:pt idx="23">
                  <c:v>-4</c:v>
                </c:pt>
                <c:pt idx="24">
                  <c:v>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Folha2!$C$2:$C$26</c15:f>
                <c15:dlblRangeCache>
                  <c:ptCount val="25"/>
                </c15:dlblRangeCache>
              </c15:datalabelsRange>
            </c:ext>
            <c:ext xmlns:c16="http://schemas.microsoft.com/office/drawing/2014/chart" uri="{C3380CC4-5D6E-409C-BE32-E72D297353CC}">
              <c16:uniqueId val="{00000000-36B6-4E7C-B4CC-75DA9CB6BDA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44123983"/>
        <c:axId val="1944121903"/>
      </c:barChart>
      <c:dateAx>
        <c:axId val="1944123983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38100" cap="flat" cmpd="sng" algn="ctr">
            <a:solidFill>
              <a:schemeClr val="accent1">
                <a:lumMod val="50000"/>
              </a:schemeClr>
            </a:solidFill>
            <a:round/>
            <a:headEnd type="none" w="med" len="med"/>
            <a:tailEnd type="triangle" w="med" len="me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944121903"/>
        <c:crosses val="autoZero"/>
        <c:auto val="1"/>
        <c:lblOffset val="100"/>
        <c:baseTimeUnit val="years"/>
      </c:dateAx>
      <c:valAx>
        <c:axId val="194412190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44123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495299</xdr:colOff>
      <xdr:row>10</xdr:row>
      <xdr:rowOff>14287</xdr:rowOff>
    </xdr:from>
    <xdr:to>
      <xdr:col>9</xdr:col>
      <xdr:colOff>133350</xdr:colOff>
      <xdr:row>24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C5F87D5-2B92-D96A-21D8-22C5960D49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2</xdr:row>
      <xdr:rowOff>95250</xdr:rowOff>
    </xdr:from>
    <xdr:to>
      <xdr:col>18</xdr:col>
      <xdr:colOff>355600</xdr:colOff>
      <xdr:row>17</xdr:row>
      <xdr:rowOff>76200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2816BE01-C07E-5A54-8577-FFB0662902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3AA6B-9DCA-46B7-9978-7DB82B4E0B9C}">
  <dimension ref="A1:G13"/>
  <sheetViews>
    <sheetView workbookViewId="0">
      <selection activeCell="H7" sqref="H7"/>
    </sheetView>
  </sheetViews>
  <sheetFormatPr defaultRowHeight="15" x14ac:dyDescent="0.25"/>
  <cols>
    <col min="1" max="1" width="51" style="1" bestFit="1" customWidth="1"/>
    <col min="2" max="2" width="13.140625" style="1" bestFit="1" customWidth="1"/>
    <col min="3" max="3" width="11.140625" style="1" bestFit="1" customWidth="1"/>
    <col min="4" max="4" width="13.7109375" style="1" bestFit="1" customWidth="1"/>
    <col min="5" max="5" width="18" style="1" bestFit="1" customWidth="1"/>
    <col min="7" max="7" width="10.7109375" bestFit="1" customWidth="1"/>
  </cols>
  <sheetData>
    <row r="1" spans="1:7" x14ac:dyDescent="0.25">
      <c r="A1" s="5" t="s">
        <v>4</v>
      </c>
      <c r="B1" s="5"/>
      <c r="C1" s="5"/>
      <c r="D1" s="5"/>
      <c r="E1" s="5"/>
    </row>
    <row r="2" spans="1:7" x14ac:dyDescent="0.25">
      <c r="A2" s="1" t="s">
        <v>3</v>
      </c>
      <c r="B2" s="1" t="s">
        <v>9</v>
      </c>
      <c r="C2" s="1" t="s">
        <v>10</v>
      </c>
      <c r="D2" s="1" t="s">
        <v>12</v>
      </c>
      <c r="E2" s="1" t="s">
        <v>13</v>
      </c>
    </row>
    <row r="3" spans="1:7" x14ac:dyDescent="0.25">
      <c r="A3" s="4" t="s">
        <v>5</v>
      </c>
      <c r="B3" s="2">
        <v>45717</v>
      </c>
      <c r="C3" s="2">
        <v>45930</v>
      </c>
      <c r="D3" s="1">
        <f>C3-B3</f>
        <v>213</v>
      </c>
      <c r="E3" s="7">
        <f>D3/7</f>
        <v>30.428571428571427</v>
      </c>
      <c r="G3" s="8"/>
    </row>
    <row r="4" spans="1:7" x14ac:dyDescent="0.25">
      <c r="A4" s="4" t="s">
        <v>14</v>
      </c>
      <c r="B4" s="2">
        <v>45717</v>
      </c>
      <c r="C4" s="2">
        <v>45724</v>
      </c>
      <c r="D4" s="1">
        <f t="shared" ref="D4:D8" si="0">C4-B4</f>
        <v>7</v>
      </c>
      <c r="E4" s="7">
        <f t="shared" ref="E4:E9" si="1">D4/7</f>
        <v>1</v>
      </c>
      <c r="G4" s="8"/>
    </row>
    <row r="5" spans="1:7" x14ac:dyDescent="0.25">
      <c r="A5" s="4" t="s">
        <v>15</v>
      </c>
      <c r="B5" s="2">
        <v>45722</v>
      </c>
      <c r="C5" s="2">
        <v>45743</v>
      </c>
      <c r="D5" s="1">
        <f>C5-B5</f>
        <v>21</v>
      </c>
      <c r="E5" s="7">
        <f t="shared" si="1"/>
        <v>3</v>
      </c>
      <c r="G5" s="8"/>
    </row>
    <row r="6" spans="1:7" x14ac:dyDescent="0.25">
      <c r="A6" s="4" t="s">
        <v>11</v>
      </c>
      <c r="B6" s="2">
        <v>45736</v>
      </c>
      <c r="C6" s="2">
        <v>45757</v>
      </c>
      <c r="D6" s="1">
        <f>C6-B6</f>
        <v>21</v>
      </c>
      <c r="E6" s="7">
        <f t="shared" si="1"/>
        <v>3</v>
      </c>
      <c r="G6" s="8"/>
    </row>
    <row r="7" spans="1:7" x14ac:dyDescent="0.25">
      <c r="A7" s="4" t="s">
        <v>6</v>
      </c>
      <c r="B7" s="2">
        <v>45757</v>
      </c>
      <c r="C7" s="2">
        <v>45785</v>
      </c>
      <c r="D7" s="1">
        <f>C7-B7</f>
        <v>28</v>
      </c>
      <c r="E7" s="7">
        <f t="shared" si="1"/>
        <v>4</v>
      </c>
      <c r="G7" s="8"/>
    </row>
    <row r="8" spans="1:7" x14ac:dyDescent="0.25">
      <c r="A8" s="4" t="s">
        <v>7</v>
      </c>
      <c r="B8" s="2">
        <v>45787</v>
      </c>
      <c r="C8" s="2">
        <v>45828</v>
      </c>
      <c r="D8" s="1">
        <f>C8-B8</f>
        <v>41</v>
      </c>
      <c r="E8" s="7">
        <f t="shared" si="1"/>
        <v>5.8571428571428568</v>
      </c>
      <c r="G8" s="8"/>
    </row>
    <row r="9" spans="1:7" x14ac:dyDescent="0.25">
      <c r="A9" s="4" t="s">
        <v>8</v>
      </c>
      <c r="B9" s="2">
        <v>45828</v>
      </c>
      <c r="C9" s="2">
        <v>45901</v>
      </c>
      <c r="D9" s="1">
        <f>C9-B9</f>
        <v>73</v>
      </c>
      <c r="E9" s="7">
        <f t="shared" si="1"/>
        <v>10.428571428571429</v>
      </c>
      <c r="G9" s="8"/>
    </row>
    <row r="12" spans="1:7" x14ac:dyDescent="0.25">
      <c r="B12" s="6"/>
      <c r="C12" s="6"/>
    </row>
    <row r="13" spans="1:7" x14ac:dyDescent="0.25">
      <c r="B13" s="6"/>
    </row>
  </sheetData>
  <mergeCells count="1">
    <mergeCell ref="A1:E1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88C66-FB8F-439A-AAB7-DE57B87D878E}">
  <dimension ref="A1:C26"/>
  <sheetViews>
    <sheetView tabSelected="1" workbookViewId="0">
      <selection activeCell="D7" sqref="D7"/>
    </sheetView>
  </sheetViews>
  <sheetFormatPr defaultRowHeight="15" x14ac:dyDescent="0.25"/>
  <cols>
    <col min="1" max="1" width="11.28515625" style="1" bestFit="1" customWidth="1"/>
    <col min="2" max="2" width="10.42578125" style="1" bestFit="1" customWidth="1"/>
    <col min="3" max="3" width="20.28515625" style="1" customWidth="1"/>
    <col min="4" max="4" width="11" customWidth="1"/>
  </cols>
  <sheetData>
    <row r="1" spans="1:3" x14ac:dyDescent="0.25">
      <c r="A1" s="3" t="s">
        <v>0</v>
      </c>
      <c r="B1" s="3" t="s">
        <v>1</v>
      </c>
      <c r="C1" s="3" t="s">
        <v>2</v>
      </c>
    </row>
    <row r="2" spans="1:3" x14ac:dyDescent="0.25">
      <c r="A2" s="2">
        <v>36526</v>
      </c>
      <c r="B2" s="1">
        <v>2</v>
      </c>
      <c r="C2"/>
    </row>
    <row r="3" spans="1:3" x14ac:dyDescent="0.25">
      <c r="A3" s="2">
        <f>A2+366</f>
        <v>36892</v>
      </c>
      <c r="B3" s="1">
        <v>-2</v>
      </c>
      <c r="C3"/>
    </row>
    <row r="4" spans="1:3" x14ac:dyDescent="0.25">
      <c r="A4" s="2">
        <f>A3+365</f>
        <v>37257</v>
      </c>
      <c r="B4" s="1">
        <v>4</v>
      </c>
      <c r="C4"/>
    </row>
    <row r="5" spans="1:3" x14ac:dyDescent="0.25">
      <c r="A5" s="2">
        <f>A4+365</f>
        <v>37622</v>
      </c>
      <c r="B5" s="1">
        <v>-4</v>
      </c>
      <c r="C5"/>
    </row>
    <row r="6" spans="1:3" x14ac:dyDescent="0.25">
      <c r="A6" s="2">
        <f t="shared" ref="A6:A26" si="0">A5+365</f>
        <v>37987</v>
      </c>
      <c r="B6" s="1">
        <v>2</v>
      </c>
      <c r="C6"/>
    </row>
    <row r="7" spans="1:3" x14ac:dyDescent="0.25">
      <c r="A7" s="2">
        <f>A6+366</f>
        <v>38353</v>
      </c>
      <c r="B7" s="1">
        <v>-2</v>
      </c>
      <c r="C7"/>
    </row>
    <row r="8" spans="1:3" x14ac:dyDescent="0.25">
      <c r="A8" s="2">
        <f t="shared" si="0"/>
        <v>38718</v>
      </c>
      <c r="B8" s="1">
        <v>4</v>
      </c>
      <c r="C8"/>
    </row>
    <row r="9" spans="1:3" x14ac:dyDescent="0.25">
      <c r="A9" s="2">
        <f t="shared" si="0"/>
        <v>39083</v>
      </c>
      <c r="B9" s="1">
        <v>-4</v>
      </c>
      <c r="C9"/>
    </row>
    <row r="10" spans="1:3" x14ac:dyDescent="0.25">
      <c r="A10" s="2">
        <f t="shared" si="0"/>
        <v>39448</v>
      </c>
      <c r="B10" s="1">
        <v>2</v>
      </c>
      <c r="C10"/>
    </row>
    <row r="11" spans="1:3" x14ac:dyDescent="0.25">
      <c r="A11" s="2">
        <f>A10+366</f>
        <v>39814</v>
      </c>
      <c r="B11" s="1">
        <v>-2</v>
      </c>
      <c r="C11"/>
    </row>
    <row r="12" spans="1:3" x14ac:dyDescent="0.25">
      <c r="A12" s="2">
        <f t="shared" si="0"/>
        <v>40179</v>
      </c>
      <c r="B12" s="1">
        <v>4</v>
      </c>
      <c r="C12"/>
    </row>
    <row r="13" spans="1:3" x14ac:dyDescent="0.25">
      <c r="A13" s="2">
        <f t="shared" si="0"/>
        <v>40544</v>
      </c>
      <c r="B13" s="1">
        <v>-4</v>
      </c>
      <c r="C13"/>
    </row>
    <row r="14" spans="1:3" x14ac:dyDescent="0.25">
      <c r="A14" s="2">
        <f t="shared" si="0"/>
        <v>40909</v>
      </c>
      <c r="B14" s="1">
        <v>2</v>
      </c>
      <c r="C14"/>
    </row>
    <row r="15" spans="1:3" x14ac:dyDescent="0.25">
      <c r="A15" s="2">
        <f>A14+366</f>
        <v>41275</v>
      </c>
      <c r="B15" s="1">
        <v>-2</v>
      </c>
      <c r="C15"/>
    </row>
    <row r="16" spans="1:3" x14ac:dyDescent="0.25">
      <c r="A16" s="2">
        <f t="shared" si="0"/>
        <v>41640</v>
      </c>
      <c r="B16" s="1">
        <v>4</v>
      </c>
      <c r="C16"/>
    </row>
    <row r="17" spans="1:3" x14ac:dyDescent="0.25">
      <c r="A17" s="2">
        <f t="shared" si="0"/>
        <v>42005</v>
      </c>
      <c r="B17" s="1">
        <v>-4</v>
      </c>
      <c r="C17"/>
    </row>
    <row r="18" spans="1:3" x14ac:dyDescent="0.25">
      <c r="A18" s="2">
        <f t="shared" si="0"/>
        <v>42370</v>
      </c>
      <c r="B18" s="1">
        <v>2</v>
      </c>
      <c r="C18"/>
    </row>
    <row r="19" spans="1:3" x14ac:dyDescent="0.25">
      <c r="A19" s="2">
        <f>A18+366</f>
        <v>42736</v>
      </c>
      <c r="B19" s="1">
        <v>-2</v>
      </c>
      <c r="C19"/>
    </row>
    <row r="20" spans="1:3" x14ac:dyDescent="0.25">
      <c r="A20" s="2">
        <f t="shared" si="0"/>
        <v>43101</v>
      </c>
      <c r="B20" s="1">
        <v>4</v>
      </c>
      <c r="C20"/>
    </row>
    <row r="21" spans="1:3" x14ac:dyDescent="0.25">
      <c r="A21" s="2">
        <f t="shared" si="0"/>
        <v>43466</v>
      </c>
      <c r="B21" s="1">
        <v>-4</v>
      </c>
      <c r="C21"/>
    </row>
    <row r="22" spans="1:3" x14ac:dyDescent="0.25">
      <c r="A22" s="2">
        <f t="shared" si="0"/>
        <v>43831</v>
      </c>
      <c r="B22" s="1">
        <v>2</v>
      </c>
      <c r="C22"/>
    </row>
    <row r="23" spans="1:3" x14ac:dyDescent="0.25">
      <c r="A23" s="2">
        <f>A22+366</f>
        <v>44197</v>
      </c>
      <c r="B23" s="1">
        <v>-2</v>
      </c>
      <c r="C23"/>
    </row>
    <row r="24" spans="1:3" x14ac:dyDescent="0.25">
      <c r="A24" s="2">
        <f t="shared" si="0"/>
        <v>44562</v>
      </c>
      <c r="B24" s="1">
        <v>4</v>
      </c>
      <c r="C24"/>
    </row>
    <row r="25" spans="1:3" x14ac:dyDescent="0.25">
      <c r="A25" s="2">
        <f t="shared" si="0"/>
        <v>44927</v>
      </c>
      <c r="B25" s="1">
        <v>-4</v>
      </c>
      <c r="C25"/>
    </row>
    <row r="26" spans="1:3" x14ac:dyDescent="0.25">
      <c r="A26" s="2">
        <f t="shared" si="0"/>
        <v>45292</v>
      </c>
      <c r="B26" s="1">
        <v>2</v>
      </c>
      <c r="C26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GANTT</vt:lpstr>
      <vt:lpstr>Folha2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Ramos</dc:creator>
  <cp:lastModifiedBy>Ricardo Ramos</cp:lastModifiedBy>
  <dcterms:created xsi:type="dcterms:W3CDTF">2024-12-18T18:08:11Z</dcterms:created>
  <dcterms:modified xsi:type="dcterms:W3CDTF">2025-01-21T22:53:39Z</dcterms:modified>
</cp:coreProperties>
</file>