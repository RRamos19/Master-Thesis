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icardo\Desktop\Tese_mestrado\diagramas\"/>
    </mc:Choice>
  </mc:AlternateContent>
  <xr:revisionPtr revIDLastSave="0" documentId="13_ncr:1_{6E7051B8-73B8-482F-A6AC-D57E059E31AA}" xr6:coauthVersionLast="47" xr6:coauthVersionMax="47" xr10:uidLastSave="{00000000-0000-0000-0000-000000000000}"/>
  <bookViews>
    <workbookView xWindow="-120" yWindow="-120" windowWidth="20730" windowHeight="11160" activeTab="1" xr2:uid="{9E5D4881-DCE1-478A-8E87-A90D197304B3}"/>
  </bookViews>
  <sheets>
    <sheet name="GANTT" sheetId="1" r:id="rId1"/>
    <sheet name="Folh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" l="1"/>
  <c r="B20" i="2"/>
  <c r="B16" i="2"/>
  <c r="B12" i="2"/>
  <c r="B8" i="2"/>
  <c r="B7" i="2"/>
  <c r="B6" i="2"/>
  <c r="B5" i="2"/>
  <c r="B4" i="2"/>
  <c r="D3" i="1"/>
  <c r="E3" i="1" s="1"/>
  <c r="C9" i="1"/>
  <c r="D4" i="1"/>
  <c r="E4" i="1" s="1"/>
  <c r="D5" i="1"/>
  <c r="E5" i="1" s="1"/>
  <c r="D6" i="1"/>
  <c r="E6" i="1" s="1"/>
  <c r="D8" i="1"/>
  <c r="E8" i="1" s="1"/>
  <c r="B9" i="2" l="1"/>
  <c r="B10" i="2" s="1"/>
  <c r="B11" i="2" s="1"/>
  <c r="B13" i="2" s="1"/>
  <c r="B14" i="2" s="1"/>
  <c r="B15" i="2" s="1"/>
  <c r="B17" i="2" s="1"/>
  <c r="B18" i="2" s="1"/>
  <c r="B19" i="2" s="1"/>
  <c r="B21" i="2" s="1"/>
  <c r="B22" i="2" s="1"/>
  <c r="B23" i="2" s="1"/>
  <c r="B25" i="2" s="1"/>
  <c r="B26" i="2" s="1"/>
  <c r="B27" i="2" s="1"/>
  <c r="E9" i="1"/>
</calcChain>
</file>

<file path=xl/sharedStrings.xml><?xml version="1.0" encoding="utf-8"?>
<sst xmlns="http://schemas.openxmlformats.org/spreadsheetml/2006/main" count="41" uniqueCount="36">
  <si>
    <t>Ano</t>
  </si>
  <si>
    <t>Start Date</t>
  </si>
  <si>
    <t>Days Needed</t>
  </si>
  <si>
    <t>Completion</t>
  </si>
  <si>
    <t>CRT+1</t>
  </si>
  <si>
    <t>Men</t>
  </si>
  <si>
    <t>d</t>
  </si>
  <si>
    <t>f</t>
  </si>
  <si>
    <t>df</t>
  </si>
  <si>
    <t>ad</t>
  </si>
  <si>
    <t>adf</t>
  </si>
  <si>
    <t>gv</t>
  </si>
  <si>
    <t>cx</t>
  </si>
  <si>
    <t>ba</t>
  </si>
  <si>
    <t>vret</t>
  </si>
  <si>
    <t>ywrty</t>
  </si>
  <si>
    <t>u</t>
  </si>
  <si>
    <t>lio</t>
  </si>
  <si>
    <t>waecew</t>
  </si>
  <si>
    <t>re</t>
  </si>
  <si>
    <t>er</t>
  </si>
  <si>
    <t>eqrfer</t>
  </si>
  <si>
    <t>ref</t>
  </si>
  <si>
    <t>erf</t>
  </si>
  <si>
    <t>iopç</t>
  </si>
  <si>
    <t>Nivel</t>
  </si>
  <si>
    <t>Label</t>
  </si>
  <si>
    <t xml:space="preserve">sdf </t>
  </si>
  <si>
    <t>Adjusted Length</t>
  </si>
  <si>
    <t>Tarefas</t>
  </si>
  <si>
    <t>Tese</t>
  </si>
  <si>
    <t>Escrita do TFM</t>
  </si>
  <si>
    <t>Implementação do simulated annealing</t>
  </si>
  <si>
    <t>Implementação do parser dos dados ITC 2019</t>
  </si>
  <si>
    <t>Implementação da interface gráfica</t>
  </si>
  <si>
    <t>Avaliação e correção da aplicação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</si>
</sst>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GANTT!$B$2</c:f>
              <c:strCache>
                <c:ptCount val="1"/>
                <c:pt idx="0">
                  <c:v>Start Date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GANTT!$A$3:$A$8</c:f>
              <c:strCache>
                <c:ptCount val="6"/>
                <c:pt idx="0">
                  <c:v>Escrita do TFM</c:v>
                </c:pt>
                <c:pt idx="1">
                  <c:v>Implementação do simulated annealing</c:v>
                </c:pt>
                <c:pt idx="2">
                  <c:v>Implementação do parser dos dados ITC 2019</c:v>
                </c:pt>
                <c:pt idx="3">
                  <c:v>Implementação da interface gráfica</c:v>
                </c:pt>
                <c:pt idx="5">
                  <c:v>Avaliação e correção da aplicação</c:v>
                </c:pt>
              </c:strCache>
            </c:strRef>
          </c:cat>
          <c:val>
            <c:numRef>
              <c:f>GANTT!$B$3:$B$8</c:f>
              <c:numCache>
                <c:formatCode>m/d/yyyy</c:formatCode>
                <c:ptCount val="6"/>
                <c:pt idx="0">
                  <c:v>45658</c:v>
                </c:pt>
                <c:pt idx="1">
                  <c:v>45717</c:v>
                </c:pt>
                <c:pt idx="2">
                  <c:v>45762</c:v>
                </c:pt>
                <c:pt idx="3">
                  <c:v>45757</c:v>
                </c:pt>
                <c:pt idx="5">
                  <c:v>45787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C2-4647-A678-764D53F39475}"/>
            </c:ext>
          </c:extLst>
        </c:ser>
        <c:ser>
          <c:idx val="1"/>
          <c:order val="1"/>
          <c:tx>
            <c:strRef>
              <c:f>GANTT!$E$2</c:f>
              <c:strCache>
                <c:ptCount val="1"/>
                <c:pt idx="0">
                  <c:v>Adjusted Length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GANTT!$A$3:$A$8</c:f>
              <c:strCache>
                <c:ptCount val="6"/>
                <c:pt idx="0">
                  <c:v>Escrita do TFM</c:v>
                </c:pt>
                <c:pt idx="1">
                  <c:v>Implementação do simulated annealing</c:v>
                </c:pt>
                <c:pt idx="2">
                  <c:v>Implementação do parser dos dados ITC 2019</c:v>
                </c:pt>
                <c:pt idx="3">
                  <c:v>Implementação da interface gráfica</c:v>
                </c:pt>
                <c:pt idx="5">
                  <c:v>Avaliação e correção da aplicação</c:v>
                </c:pt>
              </c:strCache>
            </c:strRef>
          </c:cat>
          <c:val>
            <c:numRef>
              <c:f>GANTT!$E$3:$E$8</c:f>
              <c:numCache>
                <c:formatCode>General</c:formatCode>
                <c:ptCount val="6"/>
                <c:pt idx="0">
                  <c:v>21</c:v>
                </c:pt>
                <c:pt idx="1">
                  <c:v>41</c:v>
                </c:pt>
                <c:pt idx="2">
                  <c:v>7</c:v>
                </c:pt>
                <c:pt idx="3">
                  <c:v>14</c:v>
                </c:pt>
                <c:pt idx="5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C2-4647-A678-764D53F39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97605695"/>
        <c:axId val="1897606527"/>
      </c:barChart>
      <c:catAx>
        <c:axId val="189760569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897606527"/>
        <c:crosses val="autoZero"/>
        <c:auto val="1"/>
        <c:lblAlgn val="ctr"/>
        <c:lblOffset val="100"/>
        <c:noMultiLvlLbl val="0"/>
      </c:catAx>
      <c:valAx>
        <c:axId val="1897606527"/>
        <c:scaling>
          <c:orientation val="minMax"/>
          <c:max val="45798"/>
          <c:min val="4571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897605695"/>
        <c:crosses val="autoZero"/>
        <c:crossBetween val="between"/>
        <c:majorUnit val="7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Folha2!$C$2</c:f>
              <c:strCache>
                <c:ptCount val="1"/>
                <c:pt idx="0">
                  <c:v>Nivel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9CD0CC4-0984-4D9B-8F3F-A1C9DC4CDF15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6B6-4E7C-B4CC-75DA9CB6BDA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BF565E3-4DBE-4076-96FB-E7968589EDD7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36B6-4E7C-B4CC-75DA9CB6BDA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11A2811-DBE7-4500-8A76-F1B334FABF8C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36B6-4E7C-B4CC-75DA9CB6BDA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EEC4882-76DA-4A45-A9F7-8282866940B7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36B6-4E7C-B4CC-75DA9CB6BDA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394C691-45BD-4C44-A877-B5FB877454E4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36B6-4E7C-B4CC-75DA9CB6BDA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4C3FD44-4461-4387-AFE8-961B35C1115A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36B6-4E7C-B4CC-75DA9CB6BDA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E82EDDD-9F61-4020-9750-CF7E4E2E2EF5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36B6-4E7C-B4CC-75DA9CB6BDA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FCCE442-BB03-4DBA-B1FF-D0E6503B7BEB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36B6-4E7C-B4CC-75DA9CB6BDA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525E8825-CD4F-490E-9E65-C0F006300FC1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36B6-4E7C-B4CC-75DA9CB6BDA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D73D920F-5FAF-45B4-83EA-C2D35F5DA198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36B6-4E7C-B4CC-75DA9CB6BDA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6C35E39-A094-4AAB-9545-B2A976CDF22D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36B6-4E7C-B4CC-75DA9CB6BDA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FE1FD09F-1186-4151-B96B-ACED0B24C8AF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36B6-4E7C-B4CC-75DA9CB6BDA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5C2F398-6B1A-4560-A914-7FE4D3B4ABBB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36B6-4E7C-B4CC-75DA9CB6BDA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5313948-481C-4471-9386-AA9D3FDC7943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36B6-4E7C-B4CC-75DA9CB6BDA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2C15113-F760-49C0-8E34-8137797A744B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36B6-4E7C-B4CC-75DA9CB6BDA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F2677B4B-FF85-42E5-9EDF-265503547153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6B6-4E7C-B4CC-75DA9CB6BDA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026E0982-04F5-4640-A0FA-6A93CB6BCAEE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6B6-4E7C-B4CC-75DA9CB6BDA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76F64FEC-42EE-454C-AD1D-5B72594F460A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36B6-4E7C-B4CC-75DA9CB6BDA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203AF54C-F89E-4EEE-A9D1-BE58A25A6670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36B6-4E7C-B4CC-75DA9CB6BDA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0D47A660-E564-49A9-9984-EDC43A2D1913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36B6-4E7C-B4CC-75DA9CB6BDA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9B505E77-8C35-4F39-84BB-90CA6CB51248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36B6-4E7C-B4CC-75DA9CB6BDA6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B0727477-2C24-49F1-8D4C-A4CBF891CACD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36B6-4E7C-B4CC-75DA9CB6BDA6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DBDFE10A-D330-4E0C-9ADA-A42580938AF3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36B6-4E7C-B4CC-75DA9CB6BDA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3F55B415-9140-455A-B875-3D05C4E67F6E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36B6-4E7C-B4CC-75DA9CB6BDA6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6FF3CDB8-99F5-47DF-A804-B477D0AC617F}" type="CELLRANGE">
                      <a:rPr lang="en-US"/>
                      <a:pPr/>
                      <a:t>[INTERVALODACÉLULA]</a:t>
                    </a:fld>
                    <a:endParaRPr lang="pt-PT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36B6-4E7C-B4CC-75DA9CB6BDA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minus"/>
            <c:errValType val="percentage"/>
            <c:noEndCap val="1"/>
            <c:val val="100"/>
            <c:spPr>
              <a:noFill/>
              <a:ln w="19050" cap="flat" cmpd="sng" algn="ctr">
                <a:solidFill>
                  <a:srgbClr val="0070C0"/>
                </a:solidFill>
                <a:round/>
              </a:ln>
              <a:effectLst/>
            </c:spPr>
          </c:errBars>
          <c:cat>
            <c:numRef>
              <c:f>Folha2!$B$3:$B$27</c:f>
              <c:numCache>
                <c:formatCode>m/d/yyyy</c:formatCode>
                <c:ptCount val="25"/>
                <c:pt idx="0">
                  <c:v>36526</c:v>
                </c:pt>
                <c:pt idx="1">
                  <c:v>36892</c:v>
                </c:pt>
                <c:pt idx="2">
                  <c:v>37257</c:v>
                </c:pt>
                <c:pt idx="3">
                  <c:v>37622</c:v>
                </c:pt>
                <c:pt idx="4">
                  <c:v>37987</c:v>
                </c:pt>
                <c:pt idx="5">
                  <c:v>38353</c:v>
                </c:pt>
                <c:pt idx="6">
                  <c:v>38718</c:v>
                </c:pt>
                <c:pt idx="7">
                  <c:v>39083</c:v>
                </c:pt>
                <c:pt idx="8">
                  <c:v>39448</c:v>
                </c:pt>
                <c:pt idx="9">
                  <c:v>39814</c:v>
                </c:pt>
                <c:pt idx="10">
                  <c:v>40179</c:v>
                </c:pt>
                <c:pt idx="11">
                  <c:v>40544</c:v>
                </c:pt>
                <c:pt idx="12">
                  <c:v>40909</c:v>
                </c:pt>
                <c:pt idx="13">
                  <c:v>41275</c:v>
                </c:pt>
                <c:pt idx="14">
                  <c:v>41640</c:v>
                </c:pt>
                <c:pt idx="15">
                  <c:v>42005</c:v>
                </c:pt>
                <c:pt idx="16">
                  <c:v>42370</c:v>
                </c:pt>
                <c:pt idx="17">
                  <c:v>42736</c:v>
                </c:pt>
                <c:pt idx="18">
                  <c:v>43101</c:v>
                </c:pt>
                <c:pt idx="19">
                  <c:v>43466</c:v>
                </c:pt>
                <c:pt idx="20">
                  <c:v>43831</c:v>
                </c:pt>
                <c:pt idx="21">
                  <c:v>44197</c:v>
                </c:pt>
                <c:pt idx="22">
                  <c:v>44562</c:v>
                </c:pt>
                <c:pt idx="23">
                  <c:v>44927</c:v>
                </c:pt>
                <c:pt idx="24">
                  <c:v>45292</c:v>
                </c:pt>
              </c:numCache>
            </c:numRef>
          </c:cat>
          <c:val>
            <c:numRef>
              <c:f>Folha2!$C$3:$C$27</c:f>
              <c:numCache>
                <c:formatCode>General</c:formatCode>
                <c:ptCount val="25"/>
                <c:pt idx="0">
                  <c:v>2</c:v>
                </c:pt>
                <c:pt idx="1">
                  <c:v>-2</c:v>
                </c:pt>
                <c:pt idx="2">
                  <c:v>4</c:v>
                </c:pt>
                <c:pt idx="3">
                  <c:v>-4</c:v>
                </c:pt>
                <c:pt idx="4">
                  <c:v>2</c:v>
                </c:pt>
                <c:pt idx="5">
                  <c:v>-2</c:v>
                </c:pt>
                <c:pt idx="6">
                  <c:v>4</c:v>
                </c:pt>
                <c:pt idx="7">
                  <c:v>-4</c:v>
                </c:pt>
                <c:pt idx="8">
                  <c:v>2</c:v>
                </c:pt>
                <c:pt idx="9">
                  <c:v>-2</c:v>
                </c:pt>
                <c:pt idx="10">
                  <c:v>4</c:v>
                </c:pt>
                <c:pt idx="11">
                  <c:v>-4</c:v>
                </c:pt>
                <c:pt idx="12">
                  <c:v>2</c:v>
                </c:pt>
                <c:pt idx="13">
                  <c:v>-2</c:v>
                </c:pt>
                <c:pt idx="14">
                  <c:v>4</c:v>
                </c:pt>
                <c:pt idx="15">
                  <c:v>-4</c:v>
                </c:pt>
                <c:pt idx="16">
                  <c:v>2</c:v>
                </c:pt>
                <c:pt idx="17">
                  <c:v>-2</c:v>
                </c:pt>
                <c:pt idx="18">
                  <c:v>4</c:v>
                </c:pt>
                <c:pt idx="19">
                  <c:v>-4</c:v>
                </c:pt>
                <c:pt idx="20">
                  <c:v>2</c:v>
                </c:pt>
                <c:pt idx="21">
                  <c:v>-2</c:v>
                </c:pt>
                <c:pt idx="22">
                  <c:v>4</c:v>
                </c:pt>
                <c:pt idx="23">
                  <c:v>-4</c:v>
                </c:pt>
                <c:pt idx="24">
                  <c:v>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Folha2!$D$3:$D$27</c15:f>
                <c15:dlblRangeCache>
                  <c:ptCount val="25"/>
                </c15:dlblRangeCache>
              </c15:datalabelsRange>
            </c:ext>
            <c:ext xmlns:c16="http://schemas.microsoft.com/office/drawing/2014/chart" uri="{C3380CC4-5D6E-409C-BE32-E72D297353CC}">
              <c16:uniqueId val="{00000000-36B6-4E7C-B4CC-75DA9CB6BDA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44123983"/>
        <c:axId val="1944121903"/>
      </c:barChart>
      <c:dateAx>
        <c:axId val="1944123983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38100" cap="flat" cmpd="sng" algn="ctr">
            <a:solidFill>
              <a:schemeClr val="accent1">
                <a:lumMod val="50000"/>
              </a:schemeClr>
            </a:solidFill>
            <a:round/>
            <a:headEnd type="none" w="med" len="med"/>
            <a:tailEnd type="triangle" w="med" len="me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944121903"/>
        <c:crosses val="autoZero"/>
        <c:auto val="1"/>
        <c:lblOffset val="100"/>
        <c:baseTimeUnit val="years"/>
      </c:dateAx>
      <c:valAx>
        <c:axId val="194412190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44123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273050</xdr:colOff>
      <xdr:row>1</xdr:row>
      <xdr:rowOff>76200</xdr:rowOff>
    </xdr:from>
    <xdr:to>
      <xdr:col>12</xdr:col>
      <xdr:colOff>533400</xdr:colOff>
      <xdr:row>17</xdr:row>
      <xdr:rowOff>57150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64627C5-E4C5-9F43-AADE-3B681128A1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2</xdr:row>
      <xdr:rowOff>95250</xdr:rowOff>
    </xdr:from>
    <xdr:to>
      <xdr:col>18</xdr:col>
      <xdr:colOff>355600</xdr:colOff>
      <xdr:row>17</xdr:row>
      <xdr:rowOff>76200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2816BE01-C07E-5A54-8577-FFB0662902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3AA6B-9DCA-46B7-9978-7DB82B4E0B9C}">
  <dimension ref="A1:E11"/>
  <sheetViews>
    <sheetView workbookViewId="0">
      <selection activeCell="C17" sqref="C17"/>
    </sheetView>
  </sheetViews>
  <sheetFormatPr defaultRowHeight="15" x14ac:dyDescent="0.25"/>
  <cols>
    <col min="1" max="1" width="41.42578125" style="1" bestFit="1" customWidth="1"/>
    <col min="2" max="2" width="10.7109375" style="1" bestFit="1" customWidth="1"/>
    <col min="3" max="3" width="12.7109375" style="1" bestFit="1" customWidth="1"/>
    <col min="4" max="4" width="11.42578125" style="1" bestFit="1" customWidth="1"/>
    <col min="5" max="5" width="14.28515625" style="1" bestFit="1" customWidth="1"/>
  </cols>
  <sheetData>
    <row r="1" spans="1:5" x14ac:dyDescent="0.25">
      <c r="A1" s="5" t="s">
        <v>30</v>
      </c>
      <c r="B1" s="5"/>
      <c r="C1" s="5"/>
      <c r="D1" s="5"/>
      <c r="E1" s="5"/>
    </row>
    <row r="2" spans="1:5" x14ac:dyDescent="0.25">
      <c r="A2" s="1" t="s">
        <v>29</v>
      </c>
      <c r="B2" s="1" t="s">
        <v>1</v>
      </c>
      <c r="C2" s="1" t="s">
        <v>2</v>
      </c>
      <c r="D2" s="1" t="s">
        <v>3</v>
      </c>
      <c r="E2" s="1" t="s">
        <v>28</v>
      </c>
    </row>
    <row r="3" spans="1:5" x14ac:dyDescent="0.25">
      <c r="A3" s="4" t="s">
        <v>31</v>
      </c>
      <c r="B3" s="2">
        <v>45658</v>
      </c>
      <c r="C3" s="1">
        <v>15</v>
      </c>
      <c r="D3" s="2">
        <f>WORKDAY(B3,C3)</f>
        <v>45679</v>
      </c>
      <c r="E3" s="1">
        <f>D3-B3</f>
        <v>21</v>
      </c>
    </row>
    <row r="4" spans="1:5" x14ac:dyDescent="0.25">
      <c r="A4" s="4" t="s">
        <v>32</v>
      </c>
      <c r="B4" s="2">
        <v>45717</v>
      </c>
      <c r="C4" s="1">
        <v>30</v>
      </c>
      <c r="D4" s="2">
        <f t="shared" ref="D4:D8" si="0">WORKDAY(B4,C4)</f>
        <v>45758</v>
      </c>
      <c r="E4" s="1">
        <f t="shared" ref="E4:E8" si="1">D4-B4</f>
        <v>41</v>
      </c>
    </row>
    <row r="5" spans="1:5" x14ac:dyDescent="0.25">
      <c r="A5" s="4" t="s">
        <v>33</v>
      </c>
      <c r="B5" s="2">
        <v>45762</v>
      </c>
      <c r="C5" s="1">
        <v>5</v>
      </c>
      <c r="D5" s="2">
        <f t="shared" si="0"/>
        <v>45769</v>
      </c>
      <c r="E5" s="1">
        <f t="shared" si="1"/>
        <v>7</v>
      </c>
    </row>
    <row r="6" spans="1:5" x14ac:dyDescent="0.25">
      <c r="A6" s="4" t="s">
        <v>34</v>
      </c>
      <c r="B6" s="2">
        <v>45757</v>
      </c>
      <c r="C6" s="1">
        <v>10</v>
      </c>
      <c r="D6" s="2">
        <f t="shared" si="0"/>
        <v>45771</v>
      </c>
      <c r="E6" s="1">
        <f t="shared" si="1"/>
        <v>14</v>
      </c>
    </row>
    <row r="7" spans="1:5" x14ac:dyDescent="0.25">
      <c r="A7" s="4"/>
      <c r="B7" s="2"/>
      <c r="D7" s="2"/>
    </row>
    <row r="8" spans="1:5" x14ac:dyDescent="0.25">
      <c r="A8" s="4" t="s">
        <v>35</v>
      </c>
      <c r="B8" s="2">
        <v>45787</v>
      </c>
      <c r="C8" s="1">
        <v>8</v>
      </c>
      <c r="D8" s="2">
        <f t="shared" si="0"/>
        <v>45798</v>
      </c>
      <c r="E8" s="1">
        <f t="shared" si="1"/>
        <v>11</v>
      </c>
    </row>
    <row r="9" spans="1:5" x14ac:dyDescent="0.25">
      <c r="C9" s="1">
        <f>SUM(C3:C8)</f>
        <v>68</v>
      </c>
      <c r="E9" s="1">
        <f>SUM(E3:E8)</f>
        <v>94</v>
      </c>
    </row>
    <row r="11" spans="1:5" x14ac:dyDescent="0.25">
      <c r="B11" s="1" t="s">
        <v>4</v>
      </c>
    </row>
  </sheetData>
  <mergeCells count="1">
    <mergeCell ref="A1:E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88C66-FB8F-439A-AAB7-DE57B87D878E}">
  <dimension ref="A2:D27"/>
  <sheetViews>
    <sheetView tabSelected="1" workbookViewId="0">
      <selection activeCell="K22" sqref="K22"/>
    </sheetView>
  </sheetViews>
  <sheetFormatPr defaultRowHeight="15" x14ac:dyDescent="0.25"/>
  <cols>
    <col min="1" max="1" width="11.28515625" style="1" bestFit="1" customWidth="1"/>
    <col min="2" max="2" width="10.42578125" style="1" bestFit="1" customWidth="1"/>
    <col min="3" max="3" width="8.7109375" style="1"/>
    <col min="4" max="4" width="13.42578125" customWidth="1"/>
  </cols>
  <sheetData>
    <row r="2" spans="1:4" x14ac:dyDescent="0.25">
      <c r="A2" s="3" t="s">
        <v>5</v>
      </c>
      <c r="B2" s="3" t="s">
        <v>0</v>
      </c>
      <c r="C2" s="3" t="s">
        <v>25</v>
      </c>
      <c r="D2" s="3" t="s">
        <v>26</v>
      </c>
    </row>
    <row r="3" spans="1:4" x14ac:dyDescent="0.25">
      <c r="A3" s="1" t="s">
        <v>27</v>
      </c>
      <c r="B3" s="2">
        <v>36526</v>
      </c>
      <c r="C3" s="1">
        <v>2</v>
      </c>
    </row>
    <row r="4" spans="1:4" x14ac:dyDescent="0.25">
      <c r="A4" s="1" t="s">
        <v>6</v>
      </c>
      <c r="B4" s="2">
        <f>B3+366</f>
        <v>36892</v>
      </c>
      <c r="C4" s="1">
        <v>-2</v>
      </c>
    </row>
    <row r="5" spans="1:4" x14ac:dyDescent="0.25">
      <c r="A5" s="1" t="s">
        <v>7</v>
      </c>
      <c r="B5" s="2">
        <f>B4+365</f>
        <v>37257</v>
      </c>
      <c r="C5" s="1">
        <v>4</v>
      </c>
    </row>
    <row r="6" spans="1:4" x14ac:dyDescent="0.25">
      <c r="A6" s="1" t="s">
        <v>8</v>
      </c>
      <c r="B6" s="2">
        <f>B5+365</f>
        <v>37622</v>
      </c>
      <c r="C6" s="1">
        <v>-4</v>
      </c>
    </row>
    <row r="7" spans="1:4" x14ac:dyDescent="0.25">
      <c r="A7" s="1" t="s">
        <v>6</v>
      </c>
      <c r="B7" s="2">
        <f t="shared" ref="B7:B27" si="0">B6+365</f>
        <v>37987</v>
      </c>
      <c r="C7" s="1">
        <v>2</v>
      </c>
    </row>
    <row r="8" spans="1:4" x14ac:dyDescent="0.25">
      <c r="A8" s="1" t="s">
        <v>7</v>
      </c>
      <c r="B8" s="2">
        <f>B7+366</f>
        <v>38353</v>
      </c>
      <c r="C8" s="1">
        <v>-2</v>
      </c>
    </row>
    <row r="9" spans="1:4" x14ac:dyDescent="0.25">
      <c r="A9" s="1" t="s">
        <v>6</v>
      </c>
      <c r="B9" s="2">
        <f t="shared" si="0"/>
        <v>38718</v>
      </c>
      <c r="C9" s="1">
        <v>4</v>
      </c>
    </row>
    <row r="10" spans="1:4" x14ac:dyDescent="0.25">
      <c r="A10" s="1" t="s">
        <v>7</v>
      </c>
      <c r="B10" s="2">
        <f t="shared" si="0"/>
        <v>39083</v>
      </c>
      <c r="C10" s="1">
        <v>-4</v>
      </c>
    </row>
    <row r="11" spans="1:4" x14ac:dyDescent="0.25">
      <c r="A11" s="1" t="s">
        <v>9</v>
      </c>
      <c r="B11" s="2">
        <f t="shared" si="0"/>
        <v>39448</v>
      </c>
      <c r="C11" s="1">
        <v>2</v>
      </c>
    </row>
    <row r="12" spans="1:4" x14ac:dyDescent="0.25">
      <c r="A12" s="1" t="s">
        <v>7</v>
      </c>
      <c r="B12" s="2">
        <f>B11+366</f>
        <v>39814</v>
      </c>
      <c r="C12" s="1">
        <v>-2</v>
      </c>
    </row>
    <row r="13" spans="1:4" x14ac:dyDescent="0.25">
      <c r="A13" s="1" t="s">
        <v>10</v>
      </c>
      <c r="B13" s="2">
        <f t="shared" si="0"/>
        <v>40179</v>
      </c>
      <c r="C13" s="1">
        <v>4</v>
      </c>
    </row>
    <row r="14" spans="1:4" x14ac:dyDescent="0.25">
      <c r="A14" s="1" t="s">
        <v>11</v>
      </c>
      <c r="B14" s="2">
        <f t="shared" si="0"/>
        <v>40544</v>
      </c>
      <c r="C14" s="1">
        <v>-4</v>
      </c>
    </row>
    <row r="15" spans="1:4" x14ac:dyDescent="0.25">
      <c r="A15" s="1" t="s">
        <v>12</v>
      </c>
      <c r="B15" s="2">
        <f t="shared" si="0"/>
        <v>40909</v>
      </c>
      <c r="C15" s="1">
        <v>2</v>
      </c>
    </row>
    <row r="16" spans="1:4" x14ac:dyDescent="0.25">
      <c r="A16" s="1" t="s">
        <v>13</v>
      </c>
      <c r="B16" s="2">
        <f>B15+366</f>
        <v>41275</v>
      </c>
      <c r="C16" s="1">
        <v>-2</v>
      </c>
    </row>
    <row r="17" spans="1:3" x14ac:dyDescent="0.25">
      <c r="A17" s="1" t="s">
        <v>14</v>
      </c>
      <c r="B17" s="2">
        <f t="shared" si="0"/>
        <v>41640</v>
      </c>
      <c r="C17" s="1">
        <v>4</v>
      </c>
    </row>
    <row r="18" spans="1:3" x14ac:dyDescent="0.25">
      <c r="A18" s="1" t="s">
        <v>15</v>
      </c>
      <c r="B18" s="2">
        <f t="shared" si="0"/>
        <v>42005</v>
      </c>
      <c r="C18" s="1">
        <v>-4</v>
      </c>
    </row>
    <row r="19" spans="1:3" x14ac:dyDescent="0.25">
      <c r="A19" s="1" t="s">
        <v>16</v>
      </c>
      <c r="B19" s="2">
        <f t="shared" si="0"/>
        <v>42370</v>
      </c>
      <c r="C19" s="1">
        <v>2</v>
      </c>
    </row>
    <row r="20" spans="1:3" x14ac:dyDescent="0.25">
      <c r="A20" s="1" t="s">
        <v>17</v>
      </c>
      <c r="B20" s="2">
        <f>B19+366</f>
        <v>42736</v>
      </c>
      <c r="C20" s="1">
        <v>-2</v>
      </c>
    </row>
    <row r="21" spans="1:3" x14ac:dyDescent="0.25">
      <c r="A21" s="1" t="s">
        <v>18</v>
      </c>
      <c r="B21" s="2">
        <f t="shared" si="0"/>
        <v>43101</v>
      </c>
      <c r="C21" s="1">
        <v>4</v>
      </c>
    </row>
    <row r="22" spans="1:3" x14ac:dyDescent="0.25">
      <c r="A22" s="1" t="s">
        <v>20</v>
      </c>
      <c r="B22" s="2">
        <f t="shared" si="0"/>
        <v>43466</v>
      </c>
      <c r="C22" s="1">
        <v>-4</v>
      </c>
    </row>
    <row r="23" spans="1:3" x14ac:dyDescent="0.25">
      <c r="A23" s="1" t="s">
        <v>19</v>
      </c>
      <c r="B23" s="2">
        <f t="shared" si="0"/>
        <v>43831</v>
      </c>
      <c r="C23" s="1">
        <v>2</v>
      </c>
    </row>
    <row r="24" spans="1:3" x14ac:dyDescent="0.25">
      <c r="A24" s="1" t="s">
        <v>22</v>
      </c>
      <c r="B24" s="2">
        <f>B23+366</f>
        <v>44197</v>
      </c>
      <c r="C24" s="1">
        <v>-2</v>
      </c>
    </row>
    <row r="25" spans="1:3" x14ac:dyDescent="0.25">
      <c r="A25" s="1" t="s">
        <v>21</v>
      </c>
      <c r="B25" s="2">
        <f t="shared" si="0"/>
        <v>44562</v>
      </c>
      <c r="C25" s="1">
        <v>4</v>
      </c>
    </row>
    <row r="26" spans="1:3" x14ac:dyDescent="0.25">
      <c r="A26" s="1" t="s">
        <v>23</v>
      </c>
      <c r="B26" s="2">
        <f t="shared" si="0"/>
        <v>44927</v>
      </c>
      <c r="C26" s="1">
        <v>-4</v>
      </c>
    </row>
    <row r="27" spans="1:3" x14ac:dyDescent="0.25">
      <c r="A27" s="1" t="s">
        <v>24</v>
      </c>
      <c r="B27" s="2">
        <f t="shared" si="0"/>
        <v>45292</v>
      </c>
      <c r="C27" s="1">
        <v>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GANTT</vt:lpstr>
      <vt:lpstr>Folha2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Ramos</dc:creator>
  <cp:lastModifiedBy>Ricardo Ramos</cp:lastModifiedBy>
  <dcterms:created xsi:type="dcterms:W3CDTF">2024-12-18T18:08:11Z</dcterms:created>
  <dcterms:modified xsi:type="dcterms:W3CDTF">2025-01-04T21:30:19Z</dcterms:modified>
</cp:coreProperties>
</file>